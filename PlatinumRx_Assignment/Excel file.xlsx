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426693d05eca03/Desktop/PlatinumRx_Assignment/"/>
    </mc:Choice>
  </mc:AlternateContent>
  <xr:revisionPtr revIDLastSave="0" documentId="8_{73E51837-C355-4F86-B485-6BE72B370D03}" xr6:coauthVersionLast="47" xr6:coauthVersionMax="47" xr10:uidLastSave="{00000000-0000-0000-0000-000000000000}"/>
  <bookViews>
    <workbookView xWindow="-110" yWindow="-110" windowWidth="21820" windowHeight="14620" xr2:uid="{0A5B80CC-9FC3-45D1-AD51-259B86718C3D}"/>
  </bookViews>
  <sheets>
    <sheet name="ticket" sheetId="1" r:id="rId1"/>
    <sheet name="feedbacks" sheetId="2" r:id="rId2"/>
    <sheet name="Summary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3" l="1"/>
  <c r="C2" i="3"/>
  <c r="B2" i="3"/>
  <c r="B3" i="3"/>
  <c r="D3" i="2"/>
  <c r="G2" i="1"/>
  <c r="G3" i="1"/>
  <c r="F2" i="1"/>
  <c r="F3" i="1"/>
  <c r="D2" i="2"/>
</calcChain>
</file>

<file path=xl/sharedStrings.xml><?xml version="1.0" encoding="utf-8"?>
<sst xmlns="http://schemas.openxmlformats.org/spreadsheetml/2006/main" count="24" uniqueCount="18">
  <si>
    <t>8woh-k3u-23b</t>
  </si>
  <si>
    <t>vew-iuvd-12</t>
  </si>
  <si>
    <t>Ticket_ID</t>
  </si>
  <si>
    <t>Created_AT</t>
  </si>
  <si>
    <t>Closed_AT</t>
  </si>
  <si>
    <t>CMS_ID</t>
  </si>
  <si>
    <t>isu-sjd-457</t>
  </si>
  <si>
    <t xml:space="preserve">qer-fal-092 </t>
  </si>
  <si>
    <t>wrqy-juv-978</t>
  </si>
  <si>
    <t>Outled_ID</t>
  </si>
  <si>
    <t>abc-iuvd-23</t>
  </si>
  <si>
    <t>Feedback_AT</t>
  </si>
  <si>
    <t>Ticket_Created_AT</t>
  </si>
  <si>
    <t>Feedback_Rating</t>
  </si>
  <si>
    <t>Same_Day</t>
  </si>
  <si>
    <t>Same_Hour</t>
  </si>
  <si>
    <t>same_day_count</t>
  </si>
  <si>
    <t>same_hour_count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</si>
</sst>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9499999999999993"/>
      <color rgb="FF000000"/>
      <name val="Arial"/>
      <family val="2"/>
    </font>
    <font>
      <i/>
      <sz val="10.15"/>
      <color rgb="FF3C404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2" fontId="0" fillId="0" borderId="0" xfId="0" applyNumberFormat="1"/>
    <xf numFmtId="22" fontId="1" fillId="0" borderId="0" xfId="0" applyNumberFormat="1" applyFont="1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3">
    <dxf>
      <numFmt numFmtId="27" formatCode="dd/mm/yyyy\ hh:mm"/>
    </dxf>
    <dxf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BB0B72-27C0-48F6-8DA4-DEB37A7D7BCD}" name="Table1" displayName="Table1" ref="A1:G3" totalsRowShown="0">
  <autoFilter ref="A1:G3" xr:uid="{78BB0B72-27C0-48F6-8DA4-DEB37A7D7BCD}"/>
  <tableColumns count="7">
    <tableColumn id="1" xr3:uid="{A70A9366-77EF-4EE4-A67B-089F0CCD1F00}" name="Ticket_ID"/>
    <tableColumn id="2" xr3:uid="{84789CE7-8ACF-4F65-899F-A39124FBE831}" name="Created_AT" dataDxfId="2"/>
    <tableColumn id="3" xr3:uid="{05A321C8-4623-4BF8-A658-DDA878B03E68}" name="Closed_AT"/>
    <tableColumn id="4" xr3:uid="{72738EE6-5645-4E5B-9128-BD33025E7461}" name="Outled_ID"/>
    <tableColumn id="5" xr3:uid="{B15D43E4-5F5F-4BEC-9081-40FB7CBB4B3A}" name="CMS_ID"/>
    <tableColumn id="6" xr3:uid="{8BE92569-B0BE-45C3-9BCB-991EB799C7A4}" name="Same_Day">
      <calculatedColumnFormula>IF(INT(B2)=INT(C2), "Yes", "No")</calculatedColumnFormula>
    </tableColumn>
    <tableColumn id="7" xr3:uid="{8C843875-D61D-4DDB-AF6F-9DC7FB2F30D0}" name="Same_Hour">
      <calculatedColumnFormula>IF(AND(INT(B2)=INT(C2), HOUR(B2)=HOUR(C2)), "Yes", "No")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A40D71-56F2-4E63-B05F-3248260B4D44}" name="Table2" displayName="Table2" ref="A1:D3" totalsRowShown="0">
  <autoFilter ref="A1:D3" xr:uid="{18A40D71-56F2-4E63-B05F-3248260B4D44}"/>
  <tableColumns count="4">
    <tableColumn id="1" xr3:uid="{6E95FFC1-D275-4290-93E0-F5195D132377}" name="CMS_ID"/>
    <tableColumn id="2" xr3:uid="{2A00651C-2963-46DF-9EC8-3995CE5D8695}" name="Feedback_AT" dataDxfId="1"/>
    <tableColumn id="3" xr3:uid="{98770A66-CFB1-4134-BE6B-BD64BE2E2A58}" name="Feedback_Rating"/>
    <tableColumn id="4" xr3:uid="{1891F41A-CF5E-45CB-B629-1582A580E8D6}" name="Ticket_Created_AT" dataDxfId="0">
      <calculatedColumnFormula>INDEX(ticket!$B:$B, MATCH(A2, ticket!$E:$E, 0))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CDA53F-1053-4F80-A3A8-7B2C56D2478B}" name="Table3" displayName="Table3" ref="A1:C3" totalsRowShown="0">
  <autoFilter ref="A1:C3" xr:uid="{84CDA53F-1053-4F80-A3A8-7B2C56D2478B}"/>
  <tableColumns count="3">
    <tableColumn id="1" xr3:uid="{148B7B10-145A-47A4-A866-DF97A7452FB6}" name="Outled_ID"/>
    <tableColumn id="2" xr3:uid="{45D29DB5-6F0D-4C59-93F3-3B8E8EB3BB25}" name="same_day_count">
      <calculatedColumnFormula>COUNTIFS(ticket!$D:$D, $A2, ticket!$F:$F, "Yes")</calculatedColumnFormula>
    </tableColumn>
    <tableColumn id="3" xr3:uid="{E3E4905A-87CE-4D95-A209-44437916391A}" name="same_hour_count">
      <calculatedColumnFormula>COUNTIFS(ticket!$D:$D, $A2, ticket!$G:$G, "Yes")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179DA-26C1-456F-A529-355F2AAD7460}">
  <dimension ref="A1:G3"/>
  <sheetViews>
    <sheetView tabSelected="1" zoomScale="190" zoomScaleNormal="190" workbookViewId="0">
      <selection activeCell="E6" sqref="E6"/>
    </sheetView>
  </sheetViews>
  <sheetFormatPr defaultRowHeight="14.5" x14ac:dyDescent="0.35"/>
  <cols>
    <col min="1" max="1" width="10.453125" bestFit="1" customWidth="1"/>
    <col min="2" max="2" width="15.26953125" bestFit="1" customWidth="1"/>
    <col min="3" max="3" width="15.1796875" bestFit="1" customWidth="1"/>
    <col min="4" max="4" width="12.1796875" bestFit="1" customWidth="1"/>
    <col min="5" max="5" width="11" bestFit="1" customWidth="1"/>
    <col min="6" max="6" width="10" customWidth="1"/>
    <col min="7" max="7" width="10.90625" customWidth="1"/>
  </cols>
  <sheetData>
    <row r="1" spans="1:7" x14ac:dyDescent="0.35">
      <c r="A1" t="s">
        <v>2</v>
      </c>
      <c r="B1" t="s">
        <v>3</v>
      </c>
      <c r="C1" t="s">
        <v>4</v>
      </c>
      <c r="D1" t="s">
        <v>9</v>
      </c>
      <c r="E1" t="s">
        <v>5</v>
      </c>
      <c r="F1" t="s">
        <v>14</v>
      </c>
      <c r="G1" t="s">
        <v>15</v>
      </c>
    </row>
    <row r="2" spans="1:7" x14ac:dyDescent="0.35">
      <c r="A2" s="1" t="s">
        <v>6</v>
      </c>
      <c r="B2" s="3">
        <v>44427.698414351849</v>
      </c>
      <c r="C2" s="3">
        <v>44430.523287037038</v>
      </c>
      <c r="D2" s="1" t="s">
        <v>8</v>
      </c>
      <c r="E2" t="s">
        <v>1</v>
      </c>
      <c r="F2" t="str">
        <f>IF(INT(B2)=INT(C2), "Yes", "No")</f>
        <v>No</v>
      </c>
      <c r="G2" t="str">
        <f>IF(AND(INT(B2)=INT(C2), HOUR(B2)=HOUR(C2)), "Yes", "No")</f>
        <v>No</v>
      </c>
    </row>
    <row r="3" spans="1:7" x14ac:dyDescent="0.35">
      <c r="A3" t="s">
        <v>7</v>
      </c>
      <c r="B3" s="3">
        <v>44429.464837962965</v>
      </c>
      <c r="C3" s="2">
        <v>44429.717881944445</v>
      </c>
      <c r="D3" s="4" t="s">
        <v>0</v>
      </c>
      <c r="E3" t="s">
        <v>10</v>
      </c>
      <c r="F3" t="str">
        <f>IF(INT(B3)=INT(C3), "Yes", "No")</f>
        <v>Yes</v>
      </c>
      <c r="G3" t="str">
        <f>IF(AND(INT(B3)=INT(C3), HOUR(B3)=HOUR(C3)), "Yes", "No")</f>
        <v>No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BC5A-E2BA-4CF0-9BBE-EA8B4C42FC84}">
  <dimension ref="A1:D3"/>
  <sheetViews>
    <sheetView zoomScale="205" zoomScaleNormal="205" workbookViewId="0">
      <selection sqref="A1:D3"/>
    </sheetView>
  </sheetViews>
  <sheetFormatPr defaultRowHeight="14.5" x14ac:dyDescent="0.35"/>
  <cols>
    <col min="1" max="1" width="11.26953125" bestFit="1" customWidth="1"/>
    <col min="2" max="2" width="15.1796875" bestFit="1" customWidth="1"/>
    <col min="3" max="3" width="15.54296875" customWidth="1"/>
    <col min="4" max="4" width="18.26953125" bestFit="1" customWidth="1"/>
  </cols>
  <sheetData>
    <row r="1" spans="1:4" x14ac:dyDescent="0.35">
      <c r="A1" t="s">
        <v>5</v>
      </c>
      <c r="B1" t="s">
        <v>11</v>
      </c>
      <c r="C1" t="s">
        <v>13</v>
      </c>
      <c r="D1" t="s">
        <v>12</v>
      </c>
    </row>
    <row r="2" spans="1:4" x14ac:dyDescent="0.35">
      <c r="A2" s="5" t="s">
        <v>1</v>
      </c>
      <c r="B2" s="2">
        <v>44429.560277777775</v>
      </c>
      <c r="C2" s="1">
        <v>3</v>
      </c>
      <c r="D2" s="2">
        <f>INDEX(ticket!$B:$B, MATCH(A2, ticket!$E:$E, 0))</f>
        <v>44427.698414351849</v>
      </c>
    </row>
    <row r="3" spans="1:4" x14ac:dyDescent="0.35">
      <c r="A3" t="s">
        <v>10</v>
      </c>
      <c r="B3" s="2">
        <v>44430.616782407407</v>
      </c>
      <c r="C3">
        <v>4</v>
      </c>
      <c r="D3" s="2">
        <f>INDEX(ticket!$B:$B, MATCH(A3, ticket!$E:$E, 0))</f>
        <v>44429.464837962965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AE214-8C59-44FE-8358-929202DD1797}">
  <dimension ref="A1:C3"/>
  <sheetViews>
    <sheetView zoomScale="190" zoomScaleNormal="190" workbookViewId="0">
      <selection sqref="A1:C3"/>
    </sheetView>
  </sheetViews>
  <sheetFormatPr defaultRowHeight="14.5" x14ac:dyDescent="0.35"/>
  <cols>
    <col min="1" max="1" width="12.1796875" bestFit="1" customWidth="1"/>
    <col min="2" max="2" width="15.90625" customWidth="1"/>
    <col min="3" max="3" width="16.81640625" customWidth="1"/>
  </cols>
  <sheetData>
    <row r="1" spans="1:3" x14ac:dyDescent="0.35">
      <c r="A1" t="s">
        <v>9</v>
      </c>
      <c r="B1" t="s">
        <v>16</v>
      </c>
      <c r="C1" t="s">
        <v>17</v>
      </c>
    </row>
    <row r="2" spans="1:3" x14ac:dyDescent="0.35">
      <c r="A2" s="1" t="s">
        <v>8</v>
      </c>
      <c r="B2">
        <f>COUNTIFS(ticket!$D:$D, $A2, ticket!$F:$F, "Yes")</f>
        <v>0</v>
      </c>
      <c r="C2">
        <f>COUNTIFS(ticket!$D:$D, $A2, ticket!$G:$G, "Yes")</f>
        <v>0</v>
      </c>
    </row>
    <row r="3" spans="1:3" x14ac:dyDescent="0.35">
      <c r="A3" s="4" t="s">
        <v>0</v>
      </c>
      <c r="B3">
        <f>COUNTIFS(ticket!$D:$D, $A3, ticket!$F:$F, "Yes")</f>
        <v>1</v>
      </c>
      <c r="C3">
        <f>COUNTIFS(ticket!$D:$D, $A3, ticket!$G:$G, "Yes")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</vt:lpstr>
      <vt:lpstr>feedbacks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Shaik</dc:creator>
  <cp:lastModifiedBy>Sameer Shaik</cp:lastModifiedBy>
  <dcterms:created xsi:type="dcterms:W3CDTF">2025-12-02T18:46:18Z</dcterms:created>
  <dcterms:modified xsi:type="dcterms:W3CDTF">2025-12-02T21:01:59Z</dcterms:modified>
</cp:coreProperties>
</file>